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nilla\Downloads\"/>
    </mc:Choice>
  </mc:AlternateContent>
  <xr:revisionPtr revIDLastSave="0" documentId="13_ncr:1_{59837190-BC1C-4B79-80C2-51A99178E107}" xr6:coauthVersionLast="47" xr6:coauthVersionMax="47" xr10:uidLastSave="{00000000-0000-0000-0000-000000000000}"/>
  <bookViews>
    <workbookView xWindow="-108" yWindow="-108" windowWidth="23256" windowHeight="12456" xr2:uid="{1DEA8F23-8921-4B0E-85F8-7A3B0E3DEE9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3" i="1" l="1"/>
  <c r="L14" i="1"/>
  <c r="L15" i="1"/>
  <c r="L16" i="1"/>
  <c r="L17" i="1"/>
  <c r="L18" i="1"/>
  <c r="L19" i="1"/>
  <c r="L20" i="1" l="1"/>
  <c r="L21" i="1" l="1"/>
  <c r="L23" i="1" s="1"/>
  <c r="L25" i="1" l="1"/>
</calcChain>
</file>

<file path=xl/sharedStrings.xml><?xml version="1.0" encoding="utf-8"?>
<sst xmlns="http://schemas.openxmlformats.org/spreadsheetml/2006/main" count="20" uniqueCount="20">
  <si>
    <t>Integrantes</t>
  </si>
  <si>
    <t>Cantidad</t>
  </si>
  <si>
    <t>Sueldo</t>
  </si>
  <si>
    <t>Disponibilidad</t>
  </si>
  <si>
    <t>Inicio</t>
  </si>
  <si>
    <t>Elaboración</t>
  </si>
  <si>
    <t>Construcción</t>
  </si>
  <si>
    <t xml:space="preserve">Total </t>
  </si>
  <si>
    <t>Analista de requisitos</t>
  </si>
  <si>
    <t>Subtotal</t>
  </si>
  <si>
    <t xml:space="preserve">1 Iteración = 10 dias </t>
  </si>
  <si>
    <t>Imprevisto 10%</t>
  </si>
  <si>
    <t>Precio</t>
  </si>
  <si>
    <t>Lider/Arquitecto de software</t>
  </si>
  <si>
    <t>Responsable de validacion y calidad</t>
  </si>
  <si>
    <t>Diseñador de datos</t>
  </si>
  <si>
    <t>Desarrollador principal</t>
  </si>
  <si>
    <t>Despliegue/Transicion</t>
  </si>
  <si>
    <t>Presupuesto max  = 20000 usd</t>
  </si>
  <si>
    <t>Duración: 6 meses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</si>
</sst>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5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6" borderId="0" applyNumberFormat="0" applyBorder="0" applyAlignment="0" applyProtection="0"/>
  </cellStyleXfs>
  <cellXfs count="11">
    <xf numFmtId="0" fontId="0" fillId="0" borderId="0" xfId="0"/>
    <xf numFmtId="0" fontId="2" fillId="0" borderId="0" xfId="0" applyFont="1"/>
    <xf numFmtId="0" fontId="3" fillId="0" borderId="0" xfId="0" applyFont="1"/>
    <xf numFmtId="164" fontId="0" fillId="0" borderId="0" xfId="1" applyFont="1"/>
    <xf numFmtId="9" fontId="0" fillId="0" borderId="0" xfId="0" applyNumberFormat="1"/>
    <xf numFmtId="164" fontId="0" fillId="0" borderId="0" xfId="0" applyNumberFormat="1"/>
    <xf numFmtId="164" fontId="0" fillId="3" borderId="0" xfId="0" applyNumberFormat="1" applyFill="1"/>
    <xf numFmtId="164" fontId="0" fillId="2" borderId="0" xfId="0" applyNumberFormat="1" applyFill="1"/>
    <xf numFmtId="0" fontId="0" fillId="4" borderId="0" xfId="0" applyFill="1"/>
    <xf numFmtId="0" fontId="0" fillId="5" borderId="0" xfId="0" applyFill="1"/>
    <xf numFmtId="0" fontId="1" fillId="6" borderId="0" xfId="2" applyBorder="1"/>
  </cellXfs>
  <cellStyles count="3">
    <cellStyle name="40% - Énfasis4" xfId="2" builtinId="43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1333995</xdr:colOff>
      <xdr:row>23</xdr:row>
      <xdr:rowOff>96981</xdr:rowOff>
    </xdr:from>
    <xdr:to>
      <xdr:col>4</xdr:col>
      <xdr:colOff>19792</xdr:colOff>
      <xdr:row>26</xdr:row>
      <xdr:rowOff>39585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93FB15DE-E4EF-D44B-B934-5BB5C2C98EFE}"/>
            </a:ext>
          </a:extLst>
        </xdr:cNvPr>
        <xdr:cNvSpPr txBox="1"/>
      </xdr:nvSpPr>
      <xdr:spPr>
        <a:xfrm>
          <a:off x="2561112" y="4372098"/>
          <a:ext cx="2792680" cy="476993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00"/>
            <a:t>El salario esta representado en usd por la flutuacion de los valores de usd a cop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169C6-AD03-4B9F-B7C8-C0E9C264AACC}">
  <dimension ref="D10:L26"/>
  <sheetViews>
    <sheetView tabSelected="1" topLeftCell="B9" zoomScale="77" zoomScaleNormal="115" workbookViewId="0">
      <selection activeCell="F24" sqref="F24"/>
    </sheetView>
  </sheetViews>
  <sheetFormatPr baseColWidth="10" defaultColWidth="11.44140625" defaultRowHeight="14.4" x14ac:dyDescent="0.3"/>
  <cols>
    <col min="2" max="2" width="6.44140625" customWidth="1"/>
    <col min="3" max="3" width="19.6640625" customWidth="1"/>
    <col min="4" max="4" width="40.21875" customWidth="1"/>
    <col min="6" max="7" width="13.88671875" customWidth="1"/>
    <col min="8" max="8" width="12.33203125" customWidth="1"/>
    <col min="9" max="9" width="12.6640625" customWidth="1"/>
    <col min="10" max="10" width="16" customWidth="1"/>
    <col min="11" max="11" width="23.88671875" customWidth="1"/>
    <col min="12" max="12" width="17.109375" customWidth="1"/>
  </cols>
  <sheetData>
    <row r="10" spans="4:12" x14ac:dyDescent="0.3">
      <c r="J10" t="s">
        <v>19</v>
      </c>
    </row>
    <row r="12" spans="4:12" ht="15.6" x14ac:dyDescent="0.3">
      <c r="D12" s="1" t="s">
        <v>0</v>
      </c>
      <c r="E12" s="1" t="s">
        <v>1</v>
      </c>
      <c r="F12" s="1" t="s">
        <v>2</v>
      </c>
      <c r="G12" s="1" t="s">
        <v>3</v>
      </c>
      <c r="H12" s="1" t="s">
        <v>4</v>
      </c>
      <c r="I12" s="1" t="s">
        <v>5</v>
      </c>
      <c r="J12" s="1" t="s">
        <v>6</v>
      </c>
      <c r="K12" s="1" t="s">
        <v>17</v>
      </c>
      <c r="L12" s="1" t="s">
        <v>7</v>
      </c>
    </row>
    <row r="13" spans="4:12" ht="15.6" x14ac:dyDescent="0.3">
      <c r="D13" s="2"/>
      <c r="H13">
        <v>3</v>
      </c>
      <c r="I13">
        <v>4</v>
      </c>
      <c r="J13">
        <v>8</v>
      </c>
      <c r="K13">
        <v>3</v>
      </c>
      <c r="L13" s="9">
        <f>+H13+I13+J13+K13</f>
        <v>18</v>
      </c>
    </row>
    <row r="14" spans="4:12" ht="15.6" x14ac:dyDescent="0.3">
      <c r="D14" s="2" t="s">
        <v>13</v>
      </c>
      <c r="E14">
        <v>1</v>
      </c>
      <c r="F14" s="3">
        <v>1100</v>
      </c>
      <c r="G14" s="4">
        <v>1</v>
      </c>
      <c r="H14" s="8">
        <v>3</v>
      </c>
      <c r="I14" s="8">
        <v>4</v>
      </c>
      <c r="J14" s="8">
        <v>8</v>
      </c>
      <c r="K14" s="8">
        <v>3</v>
      </c>
      <c r="L14" s="3">
        <f>E14*(F14/3)*G14*(SUM(H14:K14))</f>
        <v>6600</v>
      </c>
    </row>
    <row r="15" spans="4:12" ht="15.6" x14ac:dyDescent="0.3">
      <c r="D15" s="2" t="s">
        <v>8</v>
      </c>
      <c r="E15">
        <v>1</v>
      </c>
      <c r="F15" s="3">
        <v>830</v>
      </c>
      <c r="G15" s="4">
        <v>1</v>
      </c>
      <c r="H15" s="8">
        <v>3</v>
      </c>
      <c r="I15" s="8">
        <v>2</v>
      </c>
      <c r="J15" s="8">
        <v>0</v>
      </c>
      <c r="K15" s="8">
        <v>0</v>
      </c>
      <c r="L15" s="3">
        <f t="shared" ref="L15:L19" si="0">E15*(F15/3)*G15*(SUM(H15:K15))</f>
        <v>1383.3333333333335</v>
      </c>
    </row>
    <row r="16" spans="4:12" ht="15.6" x14ac:dyDescent="0.3">
      <c r="D16" s="2" t="s">
        <v>15</v>
      </c>
      <c r="E16">
        <v>1</v>
      </c>
      <c r="F16" s="3">
        <v>800</v>
      </c>
      <c r="G16" s="4">
        <v>1</v>
      </c>
      <c r="H16" s="8">
        <v>1</v>
      </c>
      <c r="I16" s="8">
        <v>4</v>
      </c>
      <c r="J16" s="8">
        <v>3</v>
      </c>
      <c r="K16" s="8">
        <v>0</v>
      </c>
      <c r="L16" s="3">
        <f t="shared" si="0"/>
        <v>2133.3333333333335</v>
      </c>
    </row>
    <row r="17" spans="4:12" ht="15.6" x14ac:dyDescent="0.3">
      <c r="D17" s="2" t="s">
        <v>16</v>
      </c>
      <c r="E17">
        <v>1</v>
      </c>
      <c r="F17" s="3">
        <v>720</v>
      </c>
      <c r="G17" s="4">
        <v>1</v>
      </c>
      <c r="H17" s="8">
        <v>0</v>
      </c>
      <c r="I17" s="8">
        <v>0</v>
      </c>
      <c r="J17" s="8">
        <v>8</v>
      </c>
      <c r="K17" s="8">
        <v>3</v>
      </c>
      <c r="L17" s="3">
        <f t="shared" si="0"/>
        <v>2640</v>
      </c>
    </row>
    <row r="18" spans="4:12" ht="15.6" x14ac:dyDescent="0.3">
      <c r="D18" s="2" t="s">
        <v>14</v>
      </c>
      <c r="E18">
        <v>1</v>
      </c>
      <c r="F18" s="3">
        <v>665</v>
      </c>
      <c r="G18" s="4">
        <v>1</v>
      </c>
      <c r="H18" s="8">
        <v>1</v>
      </c>
      <c r="I18" s="8">
        <v>2</v>
      </c>
      <c r="J18" s="8">
        <v>4</v>
      </c>
      <c r="K18" s="8">
        <v>3</v>
      </c>
      <c r="L18" s="3">
        <f t="shared" si="0"/>
        <v>2216.6666666666665</v>
      </c>
    </row>
    <row r="19" spans="4:12" ht="15.6" x14ac:dyDescent="0.3">
      <c r="D19" s="2"/>
      <c r="F19" s="3"/>
      <c r="G19" s="4"/>
      <c r="L19" s="3">
        <f t="shared" si="0"/>
        <v>0</v>
      </c>
    </row>
    <row r="20" spans="4:12" x14ac:dyDescent="0.3">
      <c r="K20" t="s">
        <v>9</v>
      </c>
      <c r="L20" s="5">
        <f>SUM(L14:L19)</f>
        <v>14973.333333333334</v>
      </c>
    </row>
    <row r="21" spans="4:12" ht="15.6" x14ac:dyDescent="0.3">
      <c r="D21" s="2" t="s">
        <v>10</v>
      </c>
      <c r="K21" t="s">
        <v>11</v>
      </c>
      <c r="L21" s="5">
        <f>L20*10%</f>
        <v>1497.3333333333335</v>
      </c>
    </row>
    <row r="23" spans="4:12" x14ac:dyDescent="0.3">
      <c r="D23" t="s">
        <v>18</v>
      </c>
      <c r="L23" s="6">
        <f>L20+L21</f>
        <v>16470.666666666668</v>
      </c>
    </row>
    <row r="25" spans="4:12" x14ac:dyDescent="0.3">
      <c r="D25" s="10"/>
      <c r="K25" t="s">
        <v>12</v>
      </c>
      <c r="L25" s="7">
        <f>L23*1.2</f>
        <v>19764.8</v>
      </c>
    </row>
    <row r="26" spans="4:12" x14ac:dyDescent="0.3">
      <c r="D26" s="10"/>
    </row>
  </sheetData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23ba409-5b1a-45a5-b34f-dc73ee63bc7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CBC0B57C27A88489768E9A84DBF4BE7" ma:contentTypeVersion="13" ma:contentTypeDescription="Crear nuevo documento." ma:contentTypeScope="" ma:versionID="237a5831d30c466dbfb9b48fe47f956e">
  <xsd:schema xmlns:xsd="http://www.w3.org/2001/XMLSchema" xmlns:xs="http://www.w3.org/2001/XMLSchema" xmlns:p="http://schemas.microsoft.com/office/2006/metadata/properties" xmlns:ns3="423ba409-5b1a-45a5-b34f-dc73ee63bc7b" xmlns:ns4="c97e683d-7d2f-4bce-bee5-0db14198f1da" targetNamespace="http://schemas.microsoft.com/office/2006/metadata/properties" ma:root="true" ma:fieldsID="8e5b2bc2f51f3d60b3edbd9b757350dd" ns3:_="" ns4:_="">
    <xsd:import namespace="423ba409-5b1a-45a5-b34f-dc73ee63bc7b"/>
    <xsd:import namespace="c97e683d-7d2f-4bce-bee5-0db14198f1d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3ba409-5b1a-45a5-b34f-dc73ee63bc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7e683d-7d2f-4bce-bee5-0db14198f1da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6822527-2BEC-422F-9261-EEE99990439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710F8A-9AD4-4465-A19F-F32B551BA1FE}">
  <ds:schemaRefs>
    <ds:schemaRef ds:uri="http://schemas.microsoft.com/office/2006/metadata/properties"/>
    <ds:schemaRef ds:uri="http://schemas.microsoft.com/office/infopath/2007/PartnerControls"/>
    <ds:schemaRef ds:uri="423ba409-5b1a-45a5-b34f-dc73ee63bc7b"/>
  </ds:schemaRefs>
</ds:datastoreItem>
</file>

<file path=customXml/itemProps3.xml><?xml version="1.0" encoding="utf-8"?>
<ds:datastoreItem xmlns:ds="http://schemas.openxmlformats.org/officeDocument/2006/customXml" ds:itemID="{1F389EC3-25F7-49C0-9983-E793AA0CC7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3ba409-5b1a-45a5-b34f-dc73ee63bc7b"/>
    <ds:schemaRef ds:uri="c97e683d-7d2f-4bce-bee5-0db14198f1d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>Universidad del Magdalena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RAFAEL ANDRES  ACUNA ROSALES</dc:creator>
  <cp:keywords/>
  <dc:description/>
  <cp:lastModifiedBy>VALENTINA BONILLA NIGRINIS</cp:lastModifiedBy>
  <cp:revision/>
  <dcterms:created xsi:type="dcterms:W3CDTF">2026-03-15T22:23:40Z</dcterms:created>
  <dcterms:modified xsi:type="dcterms:W3CDTF">2026-09-08T16:26:29Z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0x010100DCBC0B57C27A88489768E9A84DBF4BE7</vt:lpwstr>
  </property>
</Properties>
</file>